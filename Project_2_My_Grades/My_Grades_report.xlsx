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Grades\"/>
    </mc:Choice>
  </mc:AlternateContent>
  <xr:revisionPtr revIDLastSave="0" documentId="8_{B5D065E6-F7B9-4F15-B695-FD7F4E5D4E2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Final Repo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7" i="1" l="1"/>
  <c r="I47" i="1" s="1"/>
  <c r="G47" i="1"/>
  <c r="H46" i="1"/>
  <c r="I46" i="1" s="1"/>
  <c r="G46" i="1"/>
  <c r="H45" i="1"/>
  <c r="I45" i="1" s="1"/>
  <c r="G45" i="1"/>
  <c r="H44" i="1"/>
  <c r="I44" i="1" s="1"/>
  <c r="G44" i="1"/>
  <c r="I43" i="1"/>
  <c r="H43" i="1"/>
  <c r="G43" i="1"/>
  <c r="H42" i="1"/>
  <c r="I42" i="1" s="1"/>
  <c r="G42" i="1"/>
  <c r="H41" i="1"/>
  <c r="I41" i="1" s="1"/>
  <c r="G41" i="1"/>
  <c r="H40" i="1"/>
  <c r="I40" i="1" s="1"/>
  <c r="G40" i="1"/>
  <c r="I39" i="1"/>
  <c r="H39" i="1"/>
  <c r="G39" i="1"/>
  <c r="H38" i="1"/>
  <c r="I38" i="1" s="1"/>
  <c r="G38" i="1"/>
  <c r="H37" i="1"/>
  <c r="I37" i="1" s="1"/>
  <c r="G37" i="1"/>
  <c r="H36" i="1"/>
  <c r="I36" i="1" s="1"/>
  <c r="G36" i="1"/>
  <c r="I35" i="1"/>
  <c r="H35" i="1"/>
  <c r="G35" i="1"/>
  <c r="H34" i="1"/>
  <c r="I34" i="1" s="1"/>
  <c r="G34" i="1"/>
  <c r="H33" i="1"/>
  <c r="I33" i="1" s="1"/>
  <c r="G33" i="1"/>
  <c r="H32" i="1"/>
  <c r="I32" i="1" s="1"/>
  <c r="G32" i="1"/>
  <c r="I31" i="1"/>
  <c r="K31" i="1" s="1"/>
  <c r="H31" i="1"/>
  <c r="G31" i="1"/>
  <c r="H30" i="1"/>
  <c r="I30" i="1" s="1"/>
  <c r="G30" i="1"/>
  <c r="H29" i="1"/>
  <c r="I29" i="1" s="1"/>
  <c r="G29" i="1"/>
  <c r="H28" i="1"/>
  <c r="I28" i="1" s="1"/>
  <c r="G28" i="1"/>
  <c r="F53" i="1" s="1"/>
  <c r="C13" i="1"/>
  <c r="D11" i="1"/>
  <c r="D10" i="1"/>
  <c r="D9" i="1"/>
  <c r="D8" i="1"/>
  <c r="D7" i="1"/>
  <c r="J33" i="1" l="1"/>
  <c r="K33" i="1"/>
  <c r="J40" i="1"/>
  <c r="K40" i="1"/>
  <c r="K42" i="1"/>
  <c r="J42" i="1"/>
  <c r="J28" i="1"/>
  <c r="F52" i="1"/>
  <c r="F51" i="1"/>
  <c r="F54" i="1"/>
  <c r="F50" i="1"/>
  <c r="K28" i="1"/>
  <c r="J30" i="1"/>
  <c r="K30" i="1"/>
  <c r="K35" i="1"/>
  <c r="K37" i="1"/>
  <c r="J37" i="1"/>
  <c r="J44" i="1"/>
  <c r="K44" i="1"/>
  <c r="K46" i="1"/>
  <c r="J46" i="1"/>
  <c r="J32" i="1"/>
  <c r="K32" i="1"/>
  <c r="K34" i="1"/>
  <c r="J34" i="1"/>
  <c r="K39" i="1"/>
  <c r="J41" i="1"/>
  <c r="K41" i="1"/>
  <c r="K29" i="1"/>
  <c r="J29" i="1"/>
  <c r="J36" i="1"/>
  <c r="K36" i="1"/>
  <c r="J38" i="1"/>
  <c r="K38" i="1"/>
  <c r="K43" i="1"/>
  <c r="K45" i="1"/>
  <c r="J45" i="1"/>
  <c r="K47" i="1"/>
  <c r="J47" i="1"/>
  <c r="J31" i="1"/>
  <c r="J35" i="1"/>
  <c r="J39" i="1"/>
  <c r="J43" i="1"/>
  <c r="G58" i="1" l="1"/>
  <c r="C58" i="1"/>
  <c r="F58" i="1"/>
  <c r="B58" i="1"/>
  <c r="E58" i="1"/>
  <c r="A58" i="1"/>
  <c r="D58" i="1"/>
</calcChain>
</file>

<file path=xl/sharedStrings.xml><?xml version="1.0" encoding="utf-8"?>
<sst xmlns="http://schemas.openxmlformats.org/spreadsheetml/2006/main" count="84" uniqueCount="76">
  <si>
    <t>STATISTICS COURSE — FINAL PERFORMANCE REPORT</t>
  </si>
  <si>
    <t>Weighted grading across Assignments, Quizzes, Project, Midterm &amp; Final Exam  |  Outlier scores automatically excluded and weights re-normalized</t>
  </si>
  <si>
    <t>GRADING ASSUMPTIONS</t>
  </si>
  <si>
    <t>Component</t>
  </si>
  <si>
    <t>Max Marks</t>
  </si>
  <si>
    <t>Weight %</t>
  </si>
  <si>
    <t>Outlier Threshold
(&lt;50% of Max)</t>
  </si>
  <si>
    <t>Cell Ref</t>
  </si>
  <si>
    <t>Assignment</t>
  </si>
  <si>
    <t>Max: $B$7  Wt: $C$7</t>
  </si>
  <si>
    <t>Quizzes</t>
  </si>
  <si>
    <t>Max: $B$8  Wt: $C$8</t>
  </si>
  <si>
    <t>Project</t>
  </si>
  <si>
    <t>Max: $B$9  Wt: $C$9</t>
  </si>
  <si>
    <t>Midterm</t>
  </si>
  <si>
    <t>Max: $B$10  Wt: $C$10</t>
  </si>
  <si>
    <t>Final Exam</t>
  </si>
  <si>
    <t>Max: $B$11  Wt: $C$11</t>
  </si>
  <si>
    <t>Total Weight:</t>
  </si>
  <si>
    <t>GRADE SCALE</t>
  </si>
  <si>
    <t>NOTE ON OUTLIERS</t>
  </si>
  <si>
    <t>Grade</t>
  </si>
  <si>
    <t>Range (%)</t>
  </si>
  <si>
    <t>A score is treated as an outlier if it falls below 50% of that component's maximum marks (e.g. an Assignment score under 10/20, or a Final Exam score under 45/90). Such scores are excluded from that student's percentage calculation, and the remaining components' weights are automatically re-normalized to sum to 100%, so no student is unfairly penalized by a single anomalous or missing score.</t>
  </si>
  <si>
    <t>A+</t>
  </si>
  <si>
    <t>75 - 100</t>
  </si>
  <si>
    <t>A-</t>
  </si>
  <si>
    <t>70 - 75</t>
  </si>
  <si>
    <t>B+</t>
  </si>
  <si>
    <t>65 - 70</t>
  </si>
  <si>
    <t>B-</t>
  </si>
  <si>
    <t>60 - 65</t>
  </si>
  <si>
    <t>C+</t>
  </si>
  <si>
    <t>55 - 60</t>
  </si>
  <si>
    <t>C-</t>
  </si>
  <si>
    <t>50 - 55</t>
  </si>
  <si>
    <t>F</t>
  </si>
  <si>
    <t>Below 50</t>
  </si>
  <si>
    <t>STUDENT RESULTS</t>
  </si>
  <si>
    <t>Student Name</t>
  </si>
  <si>
    <t>Assignment
(/20)</t>
  </si>
  <si>
    <t>Quizzes
(/30)</t>
  </si>
  <si>
    <t>Project
(/20)</t>
  </si>
  <si>
    <t>Midterm
(/40)</t>
  </si>
  <si>
    <t>Final Exam
(/90)</t>
  </si>
  <si>
    <t>Outliers Ignored</t>
  </si>
  <si>
    <t>Effective
Weight Used</t>
  </si>
  <si>
    <t>Final
Percentage</t>
  </si>
  <si>
    <t>Rank</t>
  </si>
  <si>
    <t>Ahmed Raza</t>
  </si>
  <si>
    <t>Ayesha Khan</t>
  </si>
  <si>
    <t>Muhammad Ali</t>
  </si>
  <si>
    <t>Fatima Noor</t>
  </si>
  <si>
    <t>Hassan Ahmed</t>
  </si>
  <si>
    <t>Zainab Malik</t>
  </si>
  <si>
    <t>Bilal Hussain</t>
  </si>
  <si>
    <t>Hira Shah</t>
  </si>
  <si>
    <t>Usman Tariq</t>
  </si>
  <si>
    <t>Sana Iqbal</t>
  </si>
  <si>
    <t>Ali Hamza</t>
  </si>
  <si>
    <t>Maryam Aslam</t>
  </si>
  <si>
    <t>Omar Farooq</t>
  </si>
  <si>
    <t>Noor Fatima</t>
  </si>
  <si>
    <t>Abdullah Khan</t>
  </si>
  <si>
    <t>Mahnoor Ahmed</t>
  </si>
  <si>
    <t>Ibrahim Siddiqui</t>
  </si>
  <si>
    <t>Laiba Sheikh</t>
  </si>
  <si>
    <t>Hamza Javed</t>
  </si>
  <si>
    <t>Eman Khalid</t>
  </si>
  <si>
    <t>CLASS SUMMARY</t>
  </si>
  <si>
    <t>Class Average (%)</t>
  </si>
  <si>
    <t>Highest Score (%)</t>
  </si>
  <si>
    <t>Lowest Score (%)</t>
  </si>
  <si>
    <t>Students with Outliers Ignored</t>
  </si>
  <si>
    <t>Top Performer</t>
  </si>
  <si>
    <t>GRADE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</si>
</sst>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%"/>
  </numFmts>
  <fonts count="1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777777"/>
      <name val="Arial"/>
      <charset val="1"/>
    </font>
    <font>
      <b/>
      <sz val="10"/>
      <color rgb="FF1F3864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D9E2F3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CE4E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5" borderId="1" xfId="0" applyFont="1" applyFill="1" applyBorder="1"/>
    <xf numFmtId="0" fontId="7" fillId="5" borderId="1" xfId="0" applyFont="1" applyFill="1" applyBorder="1"/>
    <xf numFmtId="0" fontId="9" fillId="4" borderId="1" xfId="0" applyFont="1" applyFill="1" applyBorder="1"/>
    <xf numFmtId="0" fontId="7" fillId="4" borderId="1" xfId="0" applyFont="1" applyFill="1" applyBorder="1"/>
    <xf numFmtId="0" fontId="5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7" fillId="0" borderId="0" xfId="0" applyFont="1"/>
    <xf numFmtId="165" fontId="8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BDD7EE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FCE4E4"/>
        </patternFill>
      </fill>
    </dxf>
    <dxf>
      <fill>
        <patternFill>
          <bgColor rgb="FFFCE4E4"/>
        </patternFill>
      </fill>
    </dxf>
    <dxf>
      <fill>
        <patternFill>
          <bgColor rgb="FFFCE4E4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2F2F2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4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tabSelected="1" zoomScaleNormal="100" workbookViewId="0">
      <selection activeCell="G7" sqref="G7"/>
    </sheetView>
  </sheetViews>
  <sheetFormatPr defaultColWidth="8.6640625" defaultRowHeight="14.4" x14ac:dyDescent="0.3"/>
  <cols>
    <col min="1" max="1" width="20" customWidth="1"/>
    <col min="2" max="2" width="12" customWidth="1"/>
    <col min="3" max="5" width="10" customWidth="1"/>
    <col min="6" max="6" width="11" customWidth="1"/>
    <col min="7" max="7" width="22" customWidth="1"/>
    <col min="8" max="9" width="12" customWidth="1"/>
    <col min="10" max="10" width="9" customWidth="1"/>
    <col min="11" max="11" width="8" customWidth="1"/>
  </cols>
  <sheetData>
    <row r="1" spans="1:11" ht="25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9.7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15.6" x14ac:dyDescent="0.3">
      <c r="A5" s="6" t="s">
        <v>2</v>
      </c>
      <c r="B5" s="6"/>
      <c r="C5" s="6"/>
      <c r="D5" s="6"/>
      <c r="E5" s="6"/>
    </row>
    <row r="6" spans="1:11" ht="52.8" x14ac:dyDescent="0.3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</row>
    <row r="7" spans="1:11" x14ac:dyDescent="0.3">
      <c r="A7" s="10" t="s">
        <v>8</v>
      </c>
      <c r="B7" s="11">
        <v>20</v>
      </c>
      <c r="C7" s="11">
        <v>7</v>
      </c>
      <c r="D7" s="12">
        <f>B7*0.5</f>
        <v>10</v>
      </c>
      <c r="E7" s="13" t="s">
        <v>9</v>
      </c>
    </row>
    <row r="8" spans="1:11" x14ac:dyDescent="0.3">
      <c r="A8" s="14" t="s">
        <v>10</v>
      </c>
      <c r="B8" s="15">
        <v>30</v>
      </c>
      <c r="C8" s="15">
        <v>15</v>
      </c>
      <c r="D8" s="16">
        <f>B8*0.5</f>
        <v>15</v>
      </c>
      <c r="E8" s="17" t="s">
        <v>11</v>
      </c>
    </row>
    <row r="9" spans="1:11" x14ac:dyDescent="0.3">
      <c r="A9" s="10" t="s">
        <v>12</v>
      </c>
      <c r="B9" s="11">
        <v>20</v>
      </c>
      <c r="C9" s="11">
        <v>8</v>
      </c>
      <c r="D9" s="12">
        <f>B9*0.5</f>
        <v>10</v>
      </c>
      <c r="E9" s="13" t="s">
        <v>13</v>
      </c>
    </row>
    <row r="10" spans="1:11" x14ac:dyDescent="0.3">
      <c r="A10" s="14" t="s">
        <v>14</v>
      </c>
      <c r="B10" s="15">
        <v>40</v>
      </c>
      <c r="C10" s="15">
        <v>25</v>
      </c>
      <c r="D10" s="16">
        <f>B10*0.5</f>
        <v>20</v>
      </c>
      <c r="E10" s="17" t="s">
        <v>15</v>
      </c>
    </row>
    <row r="11" spans="1:11" x14ac:dyDescent="0.3">
      <c r="A11" s="10" t="s">
        <v>16</v>
      </c>
      <c r="B11" s="11">
        <v>90</v>
      </c>
      <c r="C11" s="11">
        <v>45</v>
      </c>
      <c r="D11" s="12">
        <f>B11*0.5</f>
        <v>45</v>
      </c>
      <c r="E11" s="13" t="s">
        <v>17</v>
      </c>
    </row>
    <row r="13" spans="1:11" x14ac:dyDescent="0.3">
      <c r="A13" s="18" t="s">
        <v>18</v>
      </c>
      <c r="C13" s="19">
        <f>SUM(C7:C11)</f>
        <v>100</v>
      </c>
    </row>
    <row r="15" spans="1:11" ht="15.6" x14ac:dyDescent="0.3">
      <c r="A15" s="6" t="s">
        <v>19</v>
      </c>
      <c r="B15" s="6"/>
      <c r="C15" s="6"/>
      <c r="D15" s="6"/>
      <c r="E15" s="6"/>
      <c r="G15" s="6" t="s">
        <v>20</v>
      </c>
      <c r="H15" s="6"/>
      <c r="I15" s="6"/>
      <c r="J15" s="6"/>
      <c r="K15" s="6"/>
    </row>
    <row r="16" spans="1:11" ht="15" customHeight="1" x14ac:dyDescent="0.3">
      <c r="A16" s="20" t="s">
        <v>21</v>
      </c>
      <c r="B16" s="20" t="s">
        <v>22</v>
      </c>
      <c r="G16" s="5" t="s">
        <v>23</v>
      </c>
      <c r="H16" s="5"/>
      <c r="I16" s="5"/>
      <c r="J16" s="5"/>
      <c r="K16" s="5"/>
    </row>
    <row r="17" spans="1:11" x14ac:dyDescent="0.3">
      <c r="A17" s="11" t="s">
        <v>24</v>
      </c>
      <c r="B17" s="11" t="s">
        <v>25</v>
      </c>
      <c r="G17" s="5"/>
      <c r="H17" s="5"/>
      <c r="I17" s="5"/>
      <c r="J17" s="5"/>
      <c r="K17" s="5"/>
    </row>
    <row r="18" spans="1:11" x14ac:dyDescent="0.3">
      <c r="A18" s="15" t="s">
        <v>26</v>
      </c>
      <c r="B18" s="15" t="s">
        <v>27</v>
      </c>
      <c r="G18" s="5"/>
      <c r="H18" s="5"/>
      <c r="I18" s="5"/>
      <c r="J18" s="5"/>
      <c r="K18" s="5"/>
    </row>
    <row r="19" spans="1:11" x14ac:dyDescent="0.3">
      <c r="A19" s="11" t="s">
        <v>28</v>
      </c>
      <c r="B19" s="11" t="s">
        <v>29</v>
      </c>
      <c r="G19" s="5"/>
      <c r="H19" s="5"/>
      <c r="I19" s="5"/>
      <c r="J19" s="5"/>
      <c r="K19" s="5"/>
    </row>
    <row r="20" spans="1:11" x14ac:dyDescent="0.3">
      <c r="A20" s="15" t="s">
        <v>30</v>
      </c>
      <c r="B20" s="15" t="s">
        <v>31</v>
      </c>
      <c r="G20" s="5"/>
      <c r="H20" s="5"/>
      <c r="I20" s="5"/>
      <c r="J20" s="5"/>
      <c r="K20" s="5"/>
    </row>
    <row r="21" spans="1:11" x14ac:dyDescent="0.3">
      <c r="A21" s="11" t="s">
        <v>32</v>
      </c>
      <c r="B21" s="11" t="s">
        <v>33</v>
      </c>
      <c r="G21" s="5"/>
      <c r="H21" s="5"/>
      <c r="I21" s="5"/>
      <c r="J21" s="5"/>
      <c r="K21" s="5"/>
    </row>
    <row r="22" spans="1:11" x14ac:dyDescent="0.3">
      <c r="A22" s="15" t="s">
        <v>34</v>
      </c>
      <c r="B22" s="15" t="s">
        <v>35</v>
      </c>
      <c r="G22" s="5"/>
      <c r="H22" s="5"/>
      <c r="I22" s="5"/>
      <c r="J22" s="5"/>
      <c r="K22" s="5"/>
    </row>
    <row r="23" spans="1:11" x14ac:dyDescent="0.3">
      <c r="A23" s="11" t="s">
        <v>36</v>
      </c>
      <c r="B23" s="11" t="s">
        <v>37</v>
      </c>
      <c r="G23" s="5"/>
      <c r="H23" s="5"/>
      <c r="I23" s="5"/>
      <c r="J23" s="5"/>
      <c r="K23" s="5"/>
    </row>
    <row r="24" spans="1:11" x14ac:dyDescent="0.3">
      <c r="G24" s="5"/>
      <c r="H24" s="5"/>
      <c r="I24" s="5"/>
      <c r="J24" s="5"/>
      <c r="K24" s="5"/>
    </row>
    <row r="26" spans="1:11" ht="15.6" x14ac:dyDescent="0.3">
      <c r="A26" s="6" t="s">
        <v>38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39.6" x14ac:dyDescent="0.3">
      <c r="A27" s="9" t="s">
        <v>39</v>
      </c>
      <c r="B27" s="9" t="s">
        <v>40</v>
      </c>
      <c r="C27" s="9" t="s">
        <v>41</v>
      </c>
      <c r="D27" s="9" t="s">
        <v>42</v>
      </c>
      <c r="E27" s="9" t="s">
        <v>43</v>
      </c>
      <c r="F27" s="9" t="s">
        <v>44</v>
      </c>
      <c r="G27" s="9" t="s">
        <v>45</v>
      </c>
      <c r="H27" s="9" t="s">
        <v>46</v>
      </c>
      <c r="I27" s="9" t="s">
        <v>47</v>
      </c>
      <c r="J27" s="9" t="s">
        <v>21</v>
      </c>
      <c r="K27" s="9" t="s">
        <v>48</v>
      </c>
    </row>
    <row r="28" spans="1:11" x14ac:dyDescent="0.3">
      <c r="A28" s="21" t="s">
        <v>49</v>
      </c>
      <c r="B28" s="22">
        <v>18</v>
      </c>
      <c r="C28" s="22">
        <v>27</v>
      </c>
      <c r="D28" s="22">
        <v>17</v>
      </c>
      <c r="E28" s="22">
        <v>35</v>
      </c>
      <c r="F28" s="22">
        <v>72</v>
      </c>
      <c r="G28" s="22" t="str">
        <f t="shared" ref="G28:G47" si="0">IF(_xlfn.TEXTJOIN(", ",TRUE(),IF(B28&lt;$B$7*0.5,"Assignment",""),IF(C28&lt;$B$8*0.5,"Quizzes",""),IF(D28&lt;$B$9*0.5,"Project",""),IF(E28&lt;$B$10*0.5,"Midterm",""),IF(F28&lt;$B$11*0.5,"Final Exam",""))="","None",_xlfn.TEXTJOIN(", ",TRUE(),IF(B28&lt;$B$7*0.5,"Assignment",""),IF(C28&lt;$B$8*0.5,"Quizzes",""),IF(D28&lt;$B$9*0.5,"Project",""),IF(E28&lt;$B$10*0.5,"Midterm",""),IF(F28&lt;$B$11*0.5,"Final Exam","")))</f>
        <v>None</v>
      </c>
      <c r="H28" s="22">
        <f t="shared" ref="H28:H47" si="1">IF(B28&lt;$B$7*0.5,0,$C$7)+IF(C28&lt;$B$8*0.5,0,$C$8)+IF(D28&lt;$B$9*0.5,0,$C$9)+IF(E28&lt;$B$10*0.5,0,$C$10)+IF(F28&lt;$B$11*0.5,0,$C$11)</f>
        <v>100</v>
      </c>
      <c r="I28" s="23">
        <f t="shared" ref="I28:I47" si="2">(IF(B28&lt;$B$7*0.5,0,(B28/$B$7)*$C$7)+IF(C28&lt;$B$8*0.5,0,(C28/$B$8)*$C$8)+IF(D28&lt;$B$9*0.5,0,(D28/$B$9)*$C$9)+IF(E28&lt;$B$10*0.5,0,(E28/$B$10)*$C$10)+IF(F28&lt;$B$11*0.5,0,(F28/$B$11)*$C$11))/H28*100</f>
        <v>84.474999999999994</v>
      </c>
      <c r="J28" s="22" t="str">
        <f t="shared" ref="J28:J47" si="3">_xlfn.IFS(I28&gt;=75,"A+",I28&gt;=70,"A-",I28&gt;=65,"B+",I28&gt;=60,"B-",I28&gt;=55,"C+",I28&gt;=50,"C-",TRUE(),"F")</f>
        <v>A+</v>
      </c>
      <c r="K28" s="22">
        <f t="shared" ref="K28:K47" si="4">RANK(I28,I$28:I$47)</f>
        <v>8</v>
      </c>
    </row>
    <row r="29" spans="1:11" x14ac:dyDescent="0.3">
      <c r="A29" s="24" t="s">
        <v>50</v>
      </c>
      <c r="B29" s="25">
        <v>16</v>
      </c>
      <c r="C29" s="25">
        <v>24</v>
      </c>
      <c r="D29" s="25">
        <v>19</v>
      </c>
      <c r="E29" s="25">
        <v>32</v>
      </c>
      <c r="F29" s="25">
        <v>68</v>
      </c>
      <c r="G29" s="25" t="str">
        <f t="shared" si="0"/>
        <v>None</v>
      </c>
      <c r="H29" s="25">
        <f t="shared" si="1"/>
        <v>100</v>
      </c>
      <c r="I29" s="26">
        <f t="shared" si="2"/>
        <v>79.2</v>
      </c>
      <c r="J29" s="25" t="str">
        <f t="shared" si="3"/>
        <v>A+</v>
      </c>
      <c r="K29" s="25">
        <f t="shared" si="4"/>
        <v>12</v>
      </c>
    </row>
    <row r="30" spans="1:11" x14ac:dyDescent="0.3">
      <c r="A30" s="21" t="s">
        <v>51</v>
      </c>
      <c r="B30" s="22">
        <v>20</v>
      </c>
      <c r="C30" s="22">
        <v>29</v>
      </c>
      <c r="D30" s="22">
        <v>18</v>
      </c>
      <c r="E30" s="22">
        <v>38</v>
      </c>
      <c r="F30" s="22">
        <v>79</v>
      </c>
      <c r="G30" s="22" t="str">
        <f t="shared" si="0"/>
        <v>None</v>
      </c>
      <c r="H30" s="22">
        <f t="shared" si="1"/>
        <v>100</v>
      </c>
      <c r="I30" s="23">
        <f t="shared" si="2"/>
        <v>91.95</v>
      </c>
      <c r="J30" s="22" t="str">
        <f t="shared" si="3"/>
        <v>A+</v>
      </c>
      <c r="K30" s="22">
        <f t="shared" si="4"/>
        <v>2</v>
      </c>
    </row>
    <row r="31" spans="1:11" x14ac:dyDescent="0.3">
      <c r="A31" s="24" t="s">
        <v>52</v>
      </c>
      <c r="B31" s="25">
        <v>4</v>
      </c>
      <c r="C31" s="25">
        <v>22</v>
      </c>
      <c r="D31" s="25">
        <v>16</v>
      </c>
      <c r="E31" s="25">
        <v>30</v>
      </c>
      <c r="F31" s="25">
        <v>64</v>
      </c>
      <c r="G31" s="25" t="str">
        <f t="shared" si="0"/>
        <v>Assignment</v>
      </c>
      <c r="H31" s="25">
        <f t="shared" si="1"/>
        <v>93</v>
      </c>
      <c r="I31" s="26">
        <f t="shared" si="2"/>
        <v>73.279569892473134</v>
      </c>
      <c r="J31" s="25" t="str">
        <f t="shared" si="3"/>
        <v>A-</v>
      </c>
      <c r="K31" s="25">
        <f t="shared" si="4"/>
        <v>14</v>
      </c>
    </row>
    <row r="32" spans="1:11" x14ac:dyDescent="0.3">
      <c r="A32" s="21" t="s">
        <v>53</v>
      </c>
      <c r="B32" s="22">
        <v>17</v>
      </c>
      <c r="C32" s="22">
        <v>26</v>
      </c>
      <c r="D32" s="22">
        <v>15</v>
      </c>
      <c r="E32" s="22">
        <v>34</v>
      </c>
      <c r="F32" s="22">
        <v>87</v>
      </c>
      <c r="G32" s="22" t="str">
        <f t="shared" si="0"/>
        <v>None</v>
      </c>
      <c r="H32" s="22">
        <f t="shared" si="1"/>
        <v>100</v>
      </c>
      <c r="I32" s="23">
        <f t="shared" si="2"/>
        <v>89.7</v>
      </c>
      <c r="J32" s="22" t="str">
        <f t="shared" si="3"/>
        <v>A+</v>
      </c>
      <c r="K32" s="22">
        <f t="shared" si="4"/>
        <v>6</v>
      </c>
    </row>
    <row r="33" spans="1:11" x14ac:dyDescent="0.3">
      <c r="A33" s="24" t="s">
        <v>54</v>
      </c>
      <c r="B33" s="25">
        <v>19</v>
      </c>
      <c r="C33" s="25">
        <v>28</v>
      </c>
      <c r="D33" s="25">
        <v>20</v>
      </c>
      <c r="E33" s="25">
        <v>39</v>
      </c>
      <c r="F33" s="25">
        <v>77</v>
      </c>
      <c r="G33" s="25" t="str">
        <f t="shared" si="0"/>
        <v>None</v>
      </c>
      <c r="H33" s="25">
        <f t="shared" si="1"/>
        <v>100</v>
      </c>
      <c r="I33" s="26">
        <f t="shared" si="2"/>
        <v>91.525000000000006</v>
      </c>
      <c r="J33" s="25" t="str">
        <f t="shared" si="3"/>
        <v>A+</v>
      </c>
      <c r="K33" s="25">
        <f t="shared" si="4"/>
        <v>3</v>
      </c>
    </row>
    <row r="34" spans="1:11" x14ac:dyDescent="0.3">
      <c r="A34" s="21" t="s">
        <v>55</v>
      </c>
      <c r="B34" s="22">
        <v>14</v>
      </c>
      <c r="C34" s="22">
        <v>21</v>
      </c>
      <c r="D34" s="22">
        <v>13</v>
      </c>
      <c r="E34" s="22">
        <v>27</v>
      </c>
      <c r="F34" s="22">
        <v>34</v>
      </c>
      <c r="G34" s="22" t="str">
        <f t="shared" si="0"/>
        <v>Final Exam</v>
      </c>
      <c r="H34" s="22">
        <f t="shared" si="1"/>
        <v>55</v>
      </c>
      <c r="I34" s="23">
        <f t="shared" si="2"/>
        <v>68.136363636363626</v>
      </c>
      <c r="J34" s="22" t="str">
        <f t="shared" si="3"/>
        <v>B+</v>
      </c>
      <c r="K34" s="22">
        <f t="shared" si="4"/>
        <v>17</v>
      </c>
    </row>
    <row r="35" spans="1:11" x14ac:dyDescent="0.3">
      <c r="A35" s="24" t="s">
        <v>56</v>
      </c>
      <c r="B35" s="25">
        <v>18</v>
      </c>
      <c r="C35" s="25">
        <v>25</v>
      </c>
      <c r="D35" s="25">
        <v>17</v>
      </c>
      <c r="E35" s="25">
        <v>36</v>
      </c>
      <c r="F35" s="25">
        <v>74</v>
      </c>
      <c r="G35" s="25" t="str">
        <f t="shared" si="0"/>
        <v>None</v>
      </c>
      <c r="H35" s="25">
        <f t="shared" si="1"/>
        <v>100</v>
      </c>
      <c r="I35" s="26">
        <f t="shared" si="2"/>
        <v>85.1</v>
      </c>
      <c r="J35" s="25" t="str">
        <f t="shared" si="3"/>
        <v>A+</v>
      </c>
      <c r="K35" s="25">
        <f t="shared" si="4"/>
        <v>7</v>
      </c>
    </row>
    <row r="36" spans="1:11" x14ac:dyDescent="0.3">
      <c r="A36" s="21" t="s">
        <v>57</v>
      </c>
      <c r="B36" s="22">
        <v>13</v>
      </c>
      <c r="C36" s="22">
        <v>23</v>
      </c>
      <c r="D36" s="22">
        <v>14</v>
      </c>
      <c r="E36" s="22">
        <v>29</v>
      </c>
      <c r="F36" s="22">
        <v>62</v>
      </c>
      <c r="G36" s="22" t="str">
        <f t="shared" si="0"/>
        <v>None</v>
      </c>
      <c r="H36" s="22">
        <f t="shared" si="1"/>
        <v>100</v>
      </c>
      <c r="I36" s="23">
        <f t="shared" si="2"/>
        <v>70.775000000000006</v>
      </c>
      <c r="J36" s="22" t="str">
        <f t="shared" si="3"/>
        <v>A-</v>
      </c>
      <c r="K36" s="22">
        <f t="shared" si="4"/>
        <v>16</v>
      </c>
    </row>
    <row r="37" spans="1:11" x14ac:dyDescent="0.3">
      <c r="A37" s="24" t="s">
        <v>58</v>
      </c>
      <c r="B37" s="25">
        <v>20</v>
      </c>
      <c r="C37" s="25">
        <v>30</v>
      </c>
      <c r="D37" s="25">
        <v>19</v>
      </c>
      <c r="E37" s="25">
        <v>40</v>
      </c>
      <c r="F37" s="25">
        <v>88</v>
      </c>
      <c r="G37" s="25" t="str">
        <f t="shared" si="0"/>
        <v>None</v>
      </c>
      <c r="H37" s="25">
        <f t="shared" si="1"/>
        <v>100</v>
      </c>
      <c r="I37" s="26">
        <f t="shared" si="2"/>
        <v>98.6</v>
      </c>
      <c r="J37" s="25" t="str">
        <f t="shared" si="3"/>
        <v>A+</v>
      </c>
      <c r="K37" s="25">
        <f t="shared" si="4"/>
        <v>1</v>
      </c>
    </row>
    <row r="38" spans="1:11" x14ac:dyDescent="0.3">
      <c r="A38" s="21" t="s">
        <v>59</v>
      </c>
      <c r="B38" s="22">
        <v>12</v>
      </c>
      <c r="C38" s="22">
        <v>20</v>
      </c>
      <c r="D38" s="22">
        <v>11</v>
      </c>
      <c r="E38" s="22">
        <v>24</v>
      </c>
      <c r="F38" s="22">
        <v>55</v>
      </c>
      <c r="G38" s="22" t="str">
        <f t="shared" si="0"/>
        <v>None</v>
      </c>
      <c r="H38" s="22">
        <f t="shared" si="1"/>
        <v>100</v>
      </c>
      <c r="I38" s="23">
        <f t="shared" si="2"/>
        <v>61.100000000000009</v>
      </c>
      <c r="J38" s="22" t="str">
        <f t="shared" si="3"/>
        <v>B-</v>
      </c>
      <c r="K38" s="22">
        <f t="shared" si="4"/>
        <v>20</v>
      </c>
    </row>
    <row r="39" spans="1:11" x14ac:dyDescent="0.3">
      <c r="A39" s="24" t="s">
        <v>60</v>
      </c>
      <c r="B39" s="25">
        <v>6</v>
      </c>
      <c r="C39" s="25">
        <v>27</v>
      </c>
      <c r="D39" s="25">
        <v>18</v>
      </c>
      <c r="E39" s="25">
        <v>33</v>
      </c>
      <c r="F39" s="25">
        <v>71</v>
      </c>
      <c r="G39" s="25" t="str">
        <f t="shared" si="0"/>
        <v>Assignment</v>
      </c>
      <c r="H39" s="25">
        <f t="shared" si="1"/>
        <v>93</v>
      </c>
      <c r="I39" s="26">
        <f t="shared" si="2"/>
        <v>82.607526881720432</v>
      </c>
      <c r="J39" s="25" t="str">
        <f t="shared" si="3"/>
        <v>A+</v>
      </c>
      <c r="K39" s="25">
        <f t="shared" si="4"/>
        <v>10</v>
      </c>
    </row>
    <row r="40" spans="1:11" x14ac:dyDescent="0.3">
      <c r="A40" s="21" t="s">
        <v>61</v>
      </c>
      <c r="B40" s="22">
        <v>16</v>
      </c>
      <c r="C40" s="22">
        <v>24</v>
      </c>
      <c r="D40" s="22">
        <v>15</v>
      </c>
      <c r="E40" s="22">
        <v>31</v>
      </c>
      <c r="F40" s="22">
        <v>67</v>
      </c>
      <c r="G40" s="22" t="str">
        <f t="shared" si="0"/>
        <v>None</v>
      </c>
      <c r="H40" s="22">
        <f t="shared" si="1"/>
        <v>100</v>
      </c>
      <c r="I40" s="23">
        <f t="shared" si="2"/>
        <v>76.474999999999994</v>
      </c>
      <c r="J40" s="22" t="str">
        <f t="shared" si="3"/>
        <v>A+</v>
      </c>
      <c r="K40" s="22">
        <f t="shared" si="4"/>
        <v>13</v>
      </c>
    </row>
    <row r="41" spans="1:11" x14ac:dyDescent="0.3">
      <c r="A41" s="24" t="s">
        <v>62</v>
      </c>
      <c r="B41" s="25">
        <v>19</v>
      </c>
      <c r="C41" s="25">
        <v>29</v>
      </c>
      <c r="D41" s="25">
        <v>20</v>
      </c>
      <c r="E41" s="25">
        <v>37</v>
      </c>
      <c r="F41" s="25">
        <v>78</v>
      </c>
      <c r="G41" s="25" t="str">
        <f t="shared" si="0"/>
        <v>None</v>
      </c>
      <c r="H41" s="25">
        <f t="shared" si="1"/>
        <v>100</v>
      </c>
      <c r="I41" s="26">
        <f t="shared" si="2"/>
        <v>91.275000000000006</v>
      </c>
      <c r="J41" s="25" t="str">
        <f t="shared" si="3"/>
        <v>A+</v>
      </c>
      <c r="K41" s="25">
        <f t="shared" si="4"/>
        <v>4</v>
      </c>
    </row>
    <row r="42" spans="1:11" x14ac:dyDescent="0.3">
      <c r="A42" s="21" t="s">
        <v>63</v>
      </c>
      <c r="B42" s="22">
        <v>11</v>
      </c>
      <c r="C42" s="22">
        <v>7</v>
      </c>
      <c r="D42" s="22">
        <v>12</v>
      </c>
      <c r="E42" s="22">
        <v>25</v>
      </c>
      <c r="F42" s="22">
        <v>57</v>
      </c>
      <c r="G42" s="22" t="str">
        <f t="shared" si="0"/>
        <v>Quizzes</v>
      </c>
      <c r="H42" s="22">
        <f t="shared" si="1"/>
        <v>85</v>
      </c>
      <c r="I42" s="23">
        <f t="shared" si="2"/>
        <v>62.088235294117645</v>
      </c>
      <c r="J42" s="22" t="str">
        <f t="shared" si="3"/>
        <v>B-</v>
      </c>
      <c r="K42" s="22">
        <f t="shared" si="4"/>
        <v>19</v>
      </c>
    </row>
    <row r="43" spans="1:11" x14ac:dyDescent="0.3">
      <c r="A43" s="24" t="s">
        <v>64</v>
      </c>
      <c r="B43" s="25">
        <v>18</v>
      </c>
      <c r="C43" s="25">
        <v>26</v>
      </c>
      <c r="D43" s="25">
        <v>16</v>
      </c>
      <c r="E43" s="25">
        <v>34</v>
      </c>
      <c r="F43" s="25">
        <v>73</v>
      </c>
      <c r="G43" s="25" t="str">
        <f t="shared" si="0"/>
        <v>None</v>
      </c>
      <c r="H43" s="25">
        <f t="shared" si="1"/>
        <v>100</v>
      </c>
      <c r="I43" s="26">
        <f t="shared" si="2"/>
        <v>83.45</v>
      </c>
      <c r="J43" s="25" t="str">
        <f t="shared" si="3"/>
        <v>A+</v>
      </c>
      <c r="K43" s="25">
        <f t="shared" si="4"/>
        <v>9</v>
      </c>
    </row>
    <row r="44" spans="1:11" x14ac:dyDescent="0.3">
      <c r="A44" s="21" t="s">
        <v>65</v>
      </c>
      <c r="B44" s="22">
        <v>15</v>
      </c>
      <c r="C44" s="22">
        <v>23</v>
      </c>
      <c r="D44" s="22">
        <v>14</v>
      </c>
      <c r="E44" s="22">
        <v>28</v>
      </c>
      <c r="F44" s="22">
        <v>63</v>
      </c>
      <c r="G44" s="22" t="str">
        <f t="shared" si="0"/>
        <v>None</v>
      </c>
      <c r="H44" s="22">
        <f t="shared" si="1"/>
        <v>100</v>
      </c>
      <c r="I44" s="23">
        <f t="shared" si="2"/>
        <v>71.349999999999994</v>
      </c>
      <c r="J44" s="22" t="str">
        <f t="shared" si="3"/>
        <v>A-</v>
      </c>
      <c r="K44" s="22">
        <f t="shared" si="4"/>
        <v>15</v>
      </c>
    </row>
    <row r="45" spans="1:11" x14ac:dyDescent="0.3">
      <c r="A45" s="24" t="s">
        <v>66</v>
      </c>
      <c r="B45" s="25">
        <v>20</v>
      </c>
      <c r="C45" s="25">
        <v>28</v>
      </c>
      <c r="D45" s="25">
        <v>0</v>
      </c>
      <c r="E45" s="25">
        <v>39</v>
      </c>
      <c r="F45" s="25">
        <v>76</v>
      </c>
      <c r="G45" s="25" t="str">
        <f t="shared" si="0"/>
        <v>Project</v>
      </c>
      <c r="H45" s="25">
        <f t="shared" si="1"/>
        <v>92</v>
      </c>
      <c r="I45" s="26">
        <f t="shared" si="2"/>
        <v>90.625</v>
      </c>
      <c r="J45" s="25" t="str">
        <f t="shared" si="3"/>
        <v>A+</v>
      </c>
      <c r="K45" s="25">
        <f t="shared" si="4"/>
        <v>5</v>
      </c>
    </row>
    <row r="46" spans="1:11" x14ac:dyDescent="0.3">
      <c r="A46" s="21" t="s">
        <v>67</v>
      </c>
      <c r="B46" s="22">
        <v>17</v>
      </c>
      <c r="C46" s="22">
        <v>25</v>
      </c>
      <c r="D46" s="22">
        <v>17</v>
      </c>
      <c r="E46" s="22">
        <v>32</v>
      </c>
      <c r="F46" s="22">
        <v>69</v>
      </c>
      <c r="G46" s="22" t="str">
        <f t="shared" si="0"/>
        <v>None</v>
      </c>
      <c r="H46" s="22">
        <f t="shared" si="1"/>
        <v>100</v>
      </c>
      <c r="I46" s="23">
        <f t="shared" si="2"/>
        <v>79.75</v>
      </c>
      <c r="J46" s="22" t="str">
        <f t="shared" si="3"/>
        <v>A+</v>
      </c>
      <c r="K46" s="22">
        <f t="shared" si="4"/>
        <v>11</v>
      </c>
    </row>
    <row r="47" spans="1:11" x14ac:dyDescent="0.3">
      <c r="A47" s="24" t="s">
        <v>68</v>
      </c>
      <c r="B47" s="25">
        <v>14</v>
      </c>
      <c r="C47" s="25">
        <v>21</v>
      </c>
      <c r="D47" s="25">
        <v>13</v>
      </c>
      <c r="E47" s="25">
        <v>26</v>
      </c>
      <c r="F47" s="25">
        <v>60</v>
      </c>
      <c r="G47" s="25" t="str">
        <f t="shared" si="0"/>
        <v>None</v>
      </c>
      <c r="H47" s="25">
        <f t="shared" si="1"/>
        <v>100</v>
      </c>
      <c r="I47" s="26">
        <f t="shared" si="2"/>
        <v>66.849999999999994</v>
      </c>
      <c r="J47" s="25" t="str">
        <f t="shared" si="3"/>
        <v>B+</v>
      </c>
      <c r="K47" s="25">
        <f t="shared" si="4"/>
        <v>18</v>
      </c>
    </row>
    <row r="49" spans="1:11" ht="15.6" x14ac:dyDescent="0.3">
      <c r="A49" s="6" t="s">
        <v>69</v>
      </c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x14ac:dyDescent="0.3">
      <c r="A50" s="4" t="s">
        <v>70</v>
      </c>
      <c r="B50" s="4"/>
      <c r="C50" s="4"/>
      <c r="D50" s="4"/>
      <c r="E50" s="4"/>
      <c r="F50" s="3">
        <f>ROUND(AVERAGE(I28:I47),2)</f>
        <v>79.92</v>
      </c>
      <c r="G50" s="3"/>
      <c r="H50" s="3"/>
    </row>
    <row r="51" spans="1:11" x14ac:dyDescent="0.3">
      <c r="A51" s="2" t="s">
        <v>71</v>
      </c>
      <c r="B51" s="2"/>
      <c r="C51" s="2"/>
      <c r="D51" s="2"/>
      <c r="E51" s="2"/>
      <c r="F51" s="1">
        <f>ROUND(MAX(I28:I47),2)</f>
        <v>98.6</v>
      </c>
      <c r="G51" s="1"/>
      <c r="H51" s="1"/>
    </row>
    <row r="52" spans="1:11" x14ac:dyDescent="0.3">
      <c r="A52" s="4" t="s">
        <v>72</v>
      </c>
      <c r="B52" s="4"/>
      <c r="C52" s="4"/>
      <c r="D52" s="4"/>
      <c r="E52" s="4"/>
      <c r="F52" s="3">
        <f>ROUND(MIN(I28:I47),2)</f>
        <v>61.1</v>
      </c>
      <c r="G52" s="3"/>
      <c r="H52" s="3"/>
    </row>
    <row r="53" spans="1:11" x14ac:dyDescent="0.3">
      <c r="A53" s="2" t="s">
        <v>73</v>
      </c>
      <c r="B53" s="2"/>
      <c r="C53" s="2"/>
      <c r="D53" s="2"/>
      <c r="E53" s="2"/>
      <c r="F53" s="1">
        <f>COUNTIF(G28:G47,"&lt;&gt;None")</f>
        <v>5</v>
      </c>
      <c r="G53" s="1"/>
      <c r="H53" s="1"/>
    </row>
    <row r="54" spans="1:11" x14ac:dyDescent="0.3">
      <c r="A54" s="4" t="s">
        <v>74</v>
      </c>
      <c r="B54" s="4"/>
      <c r="C54" s="4"/>
      <c r="D54" s="4"/>
      <c r="E54" s="4"/>
      <c r="F54" s="3" t="str">
        <f>INDEX(A28:A47,MATCH(MAX(I28:I47),I28:I47,0))</f>
        <v>Sana Iqbal</v>
      </c>
      <c r="G54" s="3"/>
      <c r="H54" s="3"/>
    </row>
    <row r="56" spans="1:11" ht="15.6" x14ac:dyDescent="0.3">
      <c r="A56" s="6" t="s">
        <v>75</v>
      </c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 x14ac:dyDescent="0.3">
      <c r="A57" s="20" t="s">
        <v>24</v>
      </c>
      <c r="B57" s="20" t="s">
        <v>26</v>
      </c>
      <c r="C57" s="20" t="s">
        <v>28</v>
      </c>
      <c r="D57" s="20" t="s">
        <v>30</v>
      </c>
      <c r="E57" s="20" t="s">
        <v>32</v>
      </c>
      <c r="F57" s="20" t="s">
        <v>34</v>
      </c>
      <c r="G57" s="20" t="s">
        <v>36</v>
      </c>
    </row>
    <row r="58" spans="1:11" x14ac:dyDescent="0.3">
      <c r="A58" s="27">
        <f>COUNTIF(J28:J47,"A+")</f>
        <v>13</v>
      </c>
      <c r="B58" s="27">
        <f>COUNTIF(J28:J47,"A-")</f>
        <v>3</v>
      </c>
      <c r="C58" s="27">
        <f>COUNTIF(J28:J47,"B+")</f>
        <v>2</v>
      </c>
      <c r="D58" s="27">
        <f>COUNTIF(J28:J47,"B-")</f>
        <v>2</v>
      </c>
      <c r="E58" s="27">
        <f>COUNTIF(J28:J47,"C+")</f>
        <v>0</v>
      </c>
      <c r="F58" s="27">
        <f>COUNTIF(J28:J47,"C-")</f>
        <v>0</v>
      </c>
      <c r="G58" s="27">
        <f>COUNTIF(J28:J47,"F")</f>
        <v>0</v>
      </c>
    </row>
  </sheetData>
  <mergeCells count="19">
    <mergeCell ref="A54:E54"/>
    <mergeCell ref="F54:H54"/>
    <mergeCell ref="A56:K56"/>
    <mergeCell ref="A51:E51"/>
    <mergeCell ref="F51:H51"/>
    <mergeCell ref="A52:E52"/>
    <mergeCell ref="F52:H52"/>
    <mergeCell ref="A53:E53"/>
    <mergeCell ref="F53:H53"/>
    <mergeCell ref="G16:K24"/>
    <mergeCell ref="A26:K26"/>
    <mergeCell ref="A49:K49"/>
    <mergeCell ref="A50:E50"/>
    <mergeCell ref="F50:H50"/>
    <mergeCell ref="A1:K2"/>
    <mergeCell ref="A3:K3"/>
    <mergeCell ref="A5:E5"/>
    <mergeCell ref="A15:E15"/>
    <mergeCell ref="G15:K15"/>
  </mergeCells>
  <conditionalFormatting sqref="B28:B47">
    <cfRule type="expression" dxfId="11" priority="2">
      <formula>B28&lt;$B$7*0.5</formula>
    </cfRule>
  </conditionalFormatting>
  <conditionalFormatting sqref="C28:C47">
    <cfRule type="expression" dxfId="10" priority="3">
      <formula>C28&lt;$B$8*0.5</formula>
    </cfRule>
  </conditionalFormatting>
  <conditionalFormatting sqref="D28:D47">
    <cfRule type="expression" dxfId="9" priority="4">
      <formula>D28&lt;$B$9*0.5</formula>
    </cfRule>
  </conditionalFormatting>
  <conditionalFormatting sqref="E28:E47">
    <cfRule type="expression" dxfId="8" priority="5">
      <formula>E28&lt;$B$10*0.5</formula>
    </cfRule>
  </conditionalFormatting>
  <conditionalFormatting sqref="F28:F47">
    <cfRule type="expression" dxfId="7" priority="6">
      <formula>F28&lt;$B$11*0.5</formula>
    </cfRule>
  </conditionalFormatting>
  <conditionalFormatting sqref="J28:J47">
    <cfRule type="cellIs" dxfId="6" priority="7" operator="equal">
      <formula>"A+"</formula>
    </cfRule>
    <cfRule type="cellIs" dxfId="5" priority="8" operator="equal">
      <formula>"A-"</formula>
    </cfRule>
    <cfRule type="cellIs" dxfId="4" priority="9" operator="equal">
      <formula>"B+"</formula>
    </cfRule>
    <cfRule type="cellIs" dxfId="3" priority="10" operator="equal">
      <formula>"B-"</formula>
    </cfRule>
    <cfRule type="cellIs" dxfId="2" priority="11" operator="equal">
      <formula>"C+"</formula>
    </cfRule>
    <cfRule type="cellIs" dxfId="1" priority="12" operator="equal">
      <formula>"C-"</formula>
    </cfRule>
    <cfRule type="cellIs" dxfId="0" priority="13" operator="equal">
      <formula>"F"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Masroor Karim</cp:lastModifiedBy>
  <cp:revision>0</cp:revision>
  <dcterms:created xsi:type="dcterms:W3CDTF">2026-07-03T07:40:32Z</dcterms:created>
  <dcterms:modified xsi:type="dcterms:W3CDTF">2026-07-03T07:44:55Z</dcterms:modified>
  <dc:language>en-US</dc:language>
</cp:coreProperties>
</file>